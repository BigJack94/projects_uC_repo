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Jacek\Documents\GitHub\projects_uC_repo\Portable Soldering Station\"/>
    </mc:Choice>
  </mc:AlternateContent>
  <xr:revisionPtr revIDLastSave="0" documentId="13_ncr:1_{96E78A79-C168-47AE-826E-13BC94B9375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OM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12" i="1"/>
  <c r="D13" i="1"/>
  <c r="D14" i="1"/>
  <c r="D15" i="1"/>
  <c r="D3" i="1"/>
</calcChain>
</file>

<file path=xl/sharedStrings.xml><?xml version="1.0" encoding="utf-8"?>
<sst xmlns="http://schemas.openxmlformats.org/spreadsheetml/2006/main" count="9" uniqueCount="9">
  <si>
    <t>Uset</t>
  </si>
  <si>
    <t>PWM</t>
  </si>
  <si>
    <t>Umes</t>
  </si>
  <si>
    <t>Ureal</t>
  </si>
  <si>
    <t>Uoled_set</t>
  </si>
  <si>
    <t>Uoled_mes</t>
  </si>
  <si>
    <t>Umes_correct</t>
  </si>
  <si>
    <t>COMPARATION VOLTAGE AND PWM (LINEAR)</t>
  </si>
  <si>
    <t>COMPARATION VOLTAGE FROM R-DIVIDER AND MULTIMETER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</si>
</sst>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1" fillId="2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PWM-</a:t>
            </a:r>
            <a:r>
              <a:rPr lang="en-US"/>
              <a:t>Umes</a:t>
            </a:r>
            <a:r>
              <a:rPr lang="pl-PL"/>
              <a:t>/Uset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'POM1'!$C$2</c:f>
              <c:strCache>
                <c:ptCount val="1"/>
                <c:pt idx="0">
                  <c:v>Umes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6"/>
            <c:dispRSqr val="0"/>
            <c:dispEq val="1"/>
            <c:trendlineLbl>
              <c:layout>
                <c:manualLayout>
                  <c:x val="-0.14439983936434175"/>
                  <c:y val="3.44278134509765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'POM1'!$A$3:$A$15</c:f>
              <c:numCache>
                <c:formatCode>0.00</c:formatCode>
                <c:ptCount val="13"/>
                <c:pt idx="0">
                  <c:v>7</c:v>
                </c:pt>
                <c:pt idx="1">
                  <c:v>9</c:v>
                </c:pt>
                <c:pt idx="2">
                  <c:v>11</c:v>
                </c:pt>
                <c:pt idx="3">
                  <c:v>13</c:v>
                </c:pt>
                <c:pt idx="4">
                  <c:v>15</c:v>
                </c:pt>
                <c:pt idx="5">
                  <c:v>17</c:v>
                </c:pt>
                <c:pt idx="6">
                  <c:v>19</c:v>
                </c:pt>
                <c:pt idx="7">
                  <c:v>21</c:v>
                </c:pt>
                <c:pt idx="8">
                  <c:v>23</c:v>
                </c:pt>
                <c:pt idx="9">
                  <c:v>25</c:v>
                </c:pt>
                <c:pt idx="10">
                  <c:v>27</c:v>
                </c:pt>
                <c:pt idx="11">
                  <c:v>29</c:v>
                </c:pt>
                <c:pt idx="12">
                  <c:v>31</c:v>
                </c:pt>
              </c:numCache>
            </c:numRef>
          </c:xVal>
          <c:yVal>
            <c:numRef>
              <c:f>'POM1'!$C$3:$C$15</c:f>
              <c:numCache>
                <c:formatCode>0.00</c:formatCode>
                <c:ptCount val="13"/>
                <c:pt idx="0">
                  <c:v>0.4</c:v>
                </c:pt>
                <c:pt idx="1">
                  <c:v>0.5</c:v>
                </c:pt>
                <c:pt idx="2">
                  <c:v>1.7</c:v>
                </c:pt>
                <c:pt idx="3">
                  <c:v>4.4000000000000004</c:v>
                </c:pt>
                <c:pt idx="4">
                  <c:v>7.9</c:v>
                </c:pt>
                <c:pt idx="5">
                  <c:v>13</c:v>
                </c:pt>
                <c:pt idx="6">
                  <c:v>18.2</c:v>
                </c:pt>
                <c:pt idx="7">
                  <c:v>21.8</c:v>
                </c:pt>
                <c:pt idx="8">
                  <c:v>24.6</c:v>
                </c:pt>
                <c:pt idx="9">
                  <c:v>26.7</c:v>
                </c:pt>
                <c:pt idx="10">
                  <c:v>28.5</c:v>
                </c:pt>
                <c:pt idx="11">
                  <c:v>29.9</c:v>
                </c:pt>
                <c:pt idx="12">
                  <c:v>31.2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5E2-4AF8-889B-E954F9C59A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8948031"/>
        <c:axId val="1518947071"/>
      </c:scatterChart>
      <c:valAx>
        <c:axId val="1518948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18947071"/>
        <c:crosses val="autoZero"/>
        <c:crossBetween val="midCat"/>
      </c:valAx>
      <c:valAx>
        <c:axId val="1518947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18948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PWM-Umes/PWM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'POM1'!$C$2</c:f>
              <c:strCache>
                <c:ptCount val="1"/>
                <c:pt idx="0">
                  <c:v>Umes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6"/>
            <c:dispRSqr val="0"/>
            <c:dispEq val="1"/>
            <c:trendlineLbl>
              <c:layout>
                <c:manualLayout>
                  <c:x val="0.16418482064741907"/>
                  <c:y val="0.1944243948673082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'POM1'!$B$3:$B$15</c:f>
              <c:numCache>
                <c:formatCode>0.00</c:formatCode>
                <c:ptCount val="13"/>
                <c:pt idx="0">
                  <c:v>443</c:v>
                </c:pt>
                <c:pt idx="1">
                  <c:v>562</c:v>
                </c:pt>
                <c:pt idx="2">
                  <c:v>687</c:v>
                </c:pt>
                <c:pt idx="3">
                  <c:v>812</c:v>
                </c:pt>
                <c:pt idx="4">
                  <c:v>937</c:v>
                </c:pt>
                <c:pt idx="5">
                  <c:v>1062</c:v>
                </c:pt>
                <c:pt idx="6">
                  <c:v>1187</c:v>
                </c:pt>
                <c:pt idx="7">
                  <c:v>1312</c:v>
                </c:pt>
                <c:pt idx="8">
                  <c:v>1437</c:v>
                </c:pt>
                <c:pt idx="9">
                  <c:v>1562</c:v>
                </c:pt>
                <c:pt idx="10">
                  <c:v>1687</c:v>
                </c:pt>
                <c:pt idx="11">
                  <c:v>1812</c:v>
                </c:pt>
                <c:pt idx="12">
                  <c:v>1937</c:v>
                </c:pt>
              </c:numCache>
            </c:numRef>
          </c:xVal>
          <c:yVal>
            <c:numRef>
              <c:f>'POM1'!$C$3:$C$15</c:f>
              <c:numCache>
                <c:formatCode>0.00</c:formatCode>
                <c:ptCount val="13"/>
                <c:pt idx="0">
                  <c:v>0.4</c:v>
                </c:pt>
                <c:pt idx="1">
                  <c:v>0.5</c:v>
                </c:pt>
                <c:pt idx="2">
                  <c:v>1.7</c:v>
                </c:pt>
                <c:pt idx="3">
                  <c:v>4.4000000000000004</c:v>
                </c:pt>
                <c:pt idx="4">
                  <c:v>7.9</c:v>
                </c:pt>
                <c:pt idx="5">
                  <c:v>13</c:v>
                </c:pt>
                <c:pt idx="6">
                  <c:v>18.2</c:v>
                </c:pt>
                <c:pt idx="7">
                  <c:v>21.8</c:v>
                </c:pt>
                <c:pt idx="8">
                  <c:v>24.6</c:v>
                </c:pt>
                <c:pt idx="9">
                  <c:v>26.7</c:v>
                </c:pt>
                <c:pt idx="10">
                  <c:v>28.5</c:v>
                </c:pt>
                <c:pt idx="11">
                  <c:v>29.9</c:v>
                </c:pt>
                <c:pt idx="12">
                  <c:v>31.2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496-4A4C-A268-45E4EC15F1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9253503"/>
        <c:axId val="1514954255"/>
      </c:scatterChart>
      <c:valAx>
        <c:axId val="1419253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14954255"/>
        <c:crosses val="autoZero"/>
        <c:crossBetween val="midCat"/>
      </c:valAx>
      <c:valAx>
        <c:axId val="1514954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19253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</a:t>
            </a:r>
            <a:r>
              <a:rPr lang="pl-PL"/>
              <a:t>_real</a:t>
            </a:r>
            <a:r>
              <a:rPr lang="pl-PL" baseline="0"/>
              <a:t> vs U_oled_mes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0370603674540683"/>
          <c:y val="0.17171296296296298"/>
          <c:w val="0.85862729658792647"/>
          <c:h val="0.7208876494604841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'POM1'!$C$18</c:f>
              <c:strCache>
                <c:ptCount val="1"/>
                <c:pt idx="0">
                  <c:v>Ureal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'POM1'!$B$19:$B$25</c:f>
              <c:numCache>
                <c:formatCode>0.00</c:formatCode>
                <c:ptCount val="7"/>
                <c:pt idx="0" formatCode="General">
                  <c:v>2</c:v>
                </c:pt>
                <c:pt idx="1">
                  <c:v>4.75</c:v>
                </c:pt>
                <c:pt idx="2">
                  <c:v>9.8000000000000007</c:v>
                </c:pt>
                <c:pt idx="3">
                  <c:v>15.2</c:v>
                </c:pt>
                <c:pt idx="4">
                  <c:v>20.2</c:v>
                </c:pt>
                <c:pt idx="5">
                  <c:v>25.05</c:v>
                </c:pt>
                <c:pt idx="6">
                  <c:v>30.05</c:v>
                </c:pt>
              </c:numCache>
            </c:numRef>
          </c:xVal>
          <c:yVal>
            <c:numRef>
              <c:f>'POM1'!$C$19:$C$25</c:f>
              <c:numCache>
                <c:formatCode>0.00</c:formatCode>
                <c:ptCount val="7"/>
                <c:pt idx="0">
                  <c:v>1.96</c:v>
                </c:pt>
                <c:pt idx="1">
                  <c:v>4.6900000000000004</c:v>
                </c:pt>
                <c:pt idx="2">
                  <c:v>9.64</c:v>
                </c:pt>
                <c:pt idx="3">
                  <c:v>14.83</c:v>
                </c:pt>
                <c:pt idx="4">
                  <c:v>19.66</c:v>
                </c:pt>
                <c:pt idx="5">
                  <c:v>24.38</c:v>
                </c:pt>
                <c:pt idx="6">
                  <c:v>29.18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F18-4FB6-9F1C-0CAA3F0811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1744367"/>
        <c:axId val="761744847"/>
      </c:scatterChart>
      <c:valAx>
        <c:axId val="761744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61744847"/>
        <c:crosses val="autoZero"/>
        <c:crossBetween val="midCat"/>
      </c:valAx>
      <c:valAx>
        <c:axId val="761744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617443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289892</xdr:colOff>
      <xdr:row>0</xdr:row>
      <xdr:rowOff>15602</xdr:rowOff>
    </xdr:from>
    <xdr:to>
      <xdr:col>13</xdr:col>
      <xdr:colOff>372719</xdr:colOff>
      <xdr:row>15</xdr:row>
      <xdr:rowOff>124240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EE8A0EF3-A54F-5232-A420-B78A57B0DE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499711</xdr:colOff>
      <xdr:row>0</xdr:row>
      <xdr:rowOff>8282</xdr:rowOff>
    </xdr:from>
    <xdr:to>
      <xdr:col>21</xdr:col>
      <xdr:colOff>447262</xdr:colOff>
      <xdr:row>15</xdr:row>
      <xdr:rowOff>91109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7DB47891-C88E-0857-FDE8-BB03DE18F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573959</xdr:colOff>
      <xdr:row>16</xdr:row>
      <xdr:rowOff>35211</xdr:rowOff>
    </xdr:from>
    <xdr:to>
      <xdr:col>15</xdr:col>
      <xdr:colOff>602538</xdr:colOff>
      <xdr:row>36</xdr:row>
      <xdr:rowOff>116174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CC72271A-654E-7A06-F53C-91E76EDC96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zoomScale="115" zoomScaleNormal="115" workbookViewId="0">
      <selection activeCell="T19" sqref="T19"/>
    </sheetView>
  </sheetViews>
  <sheetFormatPr defaultRowHeight="15" x14ac:dyDescent="0.25"/>
  <cols>
    <col min="1" max="1" width="10.140625" bestFit="1" customWidth="1"/>
    <col min="2" max="2" width="11.140625" bestFit="1" customWidth="1"/>
    <col min="3" max="3" width="6.140625" bestFit="1" customWidth="1"/>
    <col min="4" max="4" width="17" customWidth="1"/>
  </cols>
  <sheetData>
    <row r="1" spans="1:4" x14ac:dyDescent="0.25">
      <c r="A1" s="2" t="s">
        <v>7</v>
      </c>
      <c r="B1" s="2"/>
      <c r="C1" s="2"/>
      <c r="D1" s="2"/>
    </row>
    <row r="2" spans="1:4" x14ac:dyDescent="0.25">
      <c r="A2" s="2" t="s">
        <v>0</v>
      </c>
      <c r="B2" s="2" t="s">
        <v>1</v>
      </c>
      <c r="C2" s="2" t="s">
        <v>2</v>
      </c>
      <c r="D2" s="2" t="s">
        <v>6</v>
      </c>
    </row>
    <row r="3" spans="1:4" x14ac:dyDescent="0.25">
      <c r="A3" s="1">
        <v>7</v>
      </c>
      <c r="B3" s="1">
        <v>443</v>
      </c>
      <c r="C3" s="1">
        <v>0.4</v>
      </c>
      <c r="D3" s="1">
        <f>-0.0003*(C3*C3)+0.9804*C3+0.0255</f>
        <v>0.41761200000000009</v>
      </c>
    </row>
    <row r="4" spans="1:4" x14ac:dyDescent="0.25">
      <c r="A4" s="1">
        <v>9</v>
      </c>
      <c r="B4" s="1">
        <v>562</v>
      </c>
      <c r="C4" s="1">
        <v>0.5</v>
      </c>
      <c r="D4" s="1">
        <f t="shared" ref="D4:D15" si="0">-0.0003*(C4*C4)+0.9804*C4+0.0255</f>
        <v>0.515625</v>
      </c>
    </row>
    <row r="5" spans="1:4" x14ac:dyDescent="0.25">
      <c r="A5" s="1">
        <v>11</v>
      </c>
      <c r="B5" s="1">
        <v>687</v>
      </c>
      <c r="C5" s="1">
        <v>1.7</v>
      </c>
      <c r="D5" s="1">
        <f t="shared" si="0"/>
        <v>1.6913130000000001</v>
      </c>
    </row>
    <row r="6" spans="1:4" x14ac:dyDescent="0.25">
      <c r="A6" s="1">
        <v>13</v>
      </c>
      <c r="B6" s="1">
        <v>812</v>
      </c>
      <c r="C6" s="1">
        <v>4.4000000000000004</v>
      </c>
      <c r="D6" s="1">
        <f t="shared" si="0"/>
        <v>4.3334520000000003</v>
      </c>
    </row>
    <row r="7" spans="1:4" x14ac:dyDescent="0.25">
      <c r="A7" s="1">
        <v>15</v>
      </c>
      <c r="B7" s="1">
        <v>937</v>
      </c>
      <c r="C7" s="1">
        <v>7.9</v>
      </c>
      <c r="D7" s="1">
        <f t="shared" si="0"/>
        <v>7.7519370000000016</v>
      </c>
    </row>
    <row r="8" spans="1:4" x14ac:dyDescent="0.25">
      <c r="A8" s="1">
        <v>17</v>
      </c>
      <c r="B8" s="1">
        <v>1062</v>
      </c>
      <c r="C8" s="1">
        <v>13</v>
      </c>
      <c r="D8" s="1">
        <f t="shared" si="0"/>
        <v>12.719999999999999</v>
      </c>
    </row>
    <row r="9" spans="1:4" x14ac:dyDescent="0.25">
      <c r="A9" s="1">
        <v>19</v>
      </c>
      <c r="B9" s="1">
        <v>1187</v>
      </c>
      <c r="C9" s="1">
        <v>18.2</v>
      </c>
      <c r="D9" s="1">
        <f t="shared" si="0"/>
        <v>17.769408000000002</v>
      </c>
    </row>
    <row r="10" spans="1:4" x14ac:dyDescent="0.25">
      <c r="A10" s="1">
        <v>21</v>
      </c>
      <c r="B10" s="1">
        <v>1312</v>
      </c>
      <c r="C10" s="1">
        <v>21.8</v>
      </c>
      <c r="D10" s="1">
        <f t="shared" si="0"/>
        <v>21.255648000000001</v>
      </c>
    </row>
    <row r="11" spans="1:4" x14ac:dyDescent="0.25">
      <c r="A11" s="1">
        <v>23</v>
      </c>
      <c r="B11" s="1">
        <v>1437</v>
      </c>
      <c r="C11" s="1">
        <v>24.6</v>
      </c>
      <c r="D11" s="1">
        <f t="shared" si="0"/>
        <v>23.961792000000003</v>
      </c>
    </row>
    <row r="12" spans="1:4" x14ac:dyDescent="0.25">
      <c r="A12" s="1">
        <v>25</v>
      </c>
      <c r="B12" s="1">
        <v>1562</v>
      </c>
      <c r="C12" s="1">
        <v>26.7</v>
      </c>
      <c r="D12" s="1">
        <f t="shared" si="0"/>
        <v>25.988313000000002</v>
      </c>
    </row>
    <row r="13" spans="1:4" x14ac:dyDescent="0.25">
      <c r="A13" s="1">
        <v>27</v>
      </c>
      <c r="B13" s="1">
        <v>1687</v>
      </c>
      <c r="C13" s="1">
        <v>28.5</v>
      </c>
      <c r="D13" s="1">
        <f t="shared" si="0"/>
        <v>27.723225000000003</v>
      </c>
    </row>
    <row r="14" spans="1:4" x14ac:dyDescent="0.25">
      <c r="A14" s="1">
        <v>29</v>
      </c>
      <c r="B14" s="1">
        <v>1812</v>
      </c>
      <c r="C14" s="1">
        <v>29.9</v>
      </c>
      <c r="D14" s="1">
        <f t="shared" si="0"/>
        <v>29.071257000000003</v>
      </c>
    </row>
    <row r="15" spans="1:4" x14ac:dyDescent="0.25">
      <c r="A15" s="1">
        <v>31</v>
      </c>
      <c r="B15" s="1">
        <v>1937</v>
      </c>
      <c r="C15" s="1">
        <v>31.2</v>
      </c>
      <c r="D15" s="1">
        <f t="shared" si="0"/>
        <v>30.321948000000003</v>
      </c>
    </row>
    <row r="17" spans="1:5" x14ac:dyDescent="0.25">
      <c r="A17" s="2" t="s">
        <v>8</v>
      </c>
      <c r="B17" s="2"/>
      <c r="C17" s="2"/>
      <c r="D17" s="2"/>
      <c r="E17" s="2"/>
    </row>
    <row r="18" spans="1:5" x14ac:dyDescent="0.25">
      <c r="A18" s="2" t="s">
        <v>4</v>
      </c>
      <c r="B18" s="2" t="s">
        <v>5</v>
      </c>
      <c r="C18" s="2" t="s">
        <v>3</v>
      </c>
    </row>
    <row r="19" spans="1:5" x14ac:dyDescent="0.25">
      <c r="A19" s="1">
        <v>2</v>
      </c>
      <c r="B19">
        <v>2</v>
      </c>
      <c r="C19" s="1">
        <v>1.96</v>
      </c>
    </row>
    <row r="20" spans="1:5" x14ac:dyDescent="0.25">
      <c r="A20" s="1">
        <v>5</v>
      </c>
      <c r="B20" s="1">
        <v>4.75</v>
      </c>
      <c r="C20" s="1">
        <v>4.6900000000000004</v>
      </c>
    </row>
    <row r="21" spans="1:5" x14ac:dyDescent="0.25">
      <c r="A21" s="1">
        <v>10</v>
      </c>
      <c r="B21" s="1">
        <v>9.8000000000000007</v>
      </c>
      <c r="C21" s="1">
        <v>9.64</v>
      </c>
    </row>
    <row r="22" spans="1:5" x14ac:dyDescent="0.25">
      <c r="A22" s="1">
        <v>15</v>
      </c>
      <c r="B22" s="1">
        <v>15.2</v>
      </c>
      <c r="C22" s="1">
        <v>14.83</v>
      </c>
    </row>
    <row r="23" spans="1:5" x14ac:dyDescent="0.25">
      <c r="A23" s="1">
        <v>20</v>
      </c>
      <c r="B23" s="1">
        <v>20.2</v>
      </c>
      <c r="C23" s="1">
        <v>19.66</v>
      </c>
    </row>
    <row r="24" spans="1:5" x14ac:dyDescent="0.25">
      <c r="A24" s="1">
        <v>25</v>
      </c>
      <c r="B24" s="1">
        <v>25.05</v>
      </c>
      <c r="C24" s="1">
        <v>24.38</v>
      </c>
    </row>
    <row r="25" spans="1:5" x14ac:dyDescent="0.25">
      <c r="A25" s="1">
        <v>30</v>
      </c>
      <c r="B25" s="1">
        <v>30.05</v>
      </c>
      <c r="C25" s="1">
        <v>29.18</v>
      </c>
    </row>
    <row r="26" spans="1:5" x14ac:dyDescent="0.25">
      <c r="A26" s="1"/>
      <c r="B26" s="1"/>
      <c r="C26" s="1"/>
    </row>
    <row r="27" spans="1:5" x14ac:dyDescent="0.25">
      <c r="A27" s="1"/>
      <c r="B27" s="1"/>
      <c r="C27" s="1"/>
    </row>
    <row r="28" spans="1:5" x14ac:dyDescent="0.25">
      <c r="A28" s="1"/>
      <c r="B28" s="1"/>
      <c r="C28" s="1"/>
    </row>
    <row r="29" spans="1:5" x14ac:dyDescent="0.25">
      <c r="A29" s="1"/>
      <c r="B29" s="1"/>
      <c r="C29" s="1"/>
    </row>
    <row r="30" spans="1:5" x14ac:dyDescent="0.25">
      <c r="A30" s="1"/>
      <c r="B30" s="1"/>
      <c r="C30" s="1"/>
    </row>
    <row r="31" spans="1:5" x14ac:dyDescent="0.25">
      <c r="A31" s="1"/>
      <c r="B31" s="1"/>
      <c r="C31" s="1"/>
    </row>
    <row r="32" spans="1:5" x14ac:dyDescent="0.25">
      <c r="A32" s="1"/>
      <c r="B32" s="1"/>
      <c r="C32" s="1"/>
    </row>
  </sheetData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POM1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Jacek</dc:creator>
  <cp:lastModifiedBy>Jacek</cp:lastModifiedBy>
  <dcterms:created xsi:type="dcterms:W3CDTF">2015-06-05T18:19:34Z</dcterms:created>
  <dcterms:modified xsi:type="dcterms:W3CDTF">2025-10-23T18:35:24Z</dcterms:modified>
</cp:coreProperties>
</file>